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b04686fa2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数据" sheetId="1" r:id="Rcb7a861397da4873"/>
    <x:sheet xmlns:r="http://schemas.openxmlformats.org/officeDocument/2006/relationships" name="财务汇总" sheetId="2" r:id="R46b4920869fa4345"/>
    <x:sheet xmlns:r="http://schemas.openxmlformats.org/officeDocument/2006/relationships" name="分类汇总" sheetId="3" r:id="R148f231bf38a45db"/>
    <x:sheet xmlns:r="http://schemas.openxmlformats.org/officeDocument/2006/relationships" name="下拉选项" sheetId="4" r:id="Rf44d553086cb415e"/>
    <x:sheet xmlns:r="http://schemas.openxmlformats.org/officeDocument/2006/relationships" name="使用说明" sheetId="5" r:id="R47cad38f32f0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¥#,##0;[Red]-¥#,##0"/>
    <x:numFmt numFmtId="202" formatCode="0.0%"/>
  </x:numFmts>
  <x:fonts count="10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1"/>
      <x:color rgb="44546A"/>
      <x:name val="Carlito"/>
    </x:font>
    <x:font>
      <x:b/>
      <x:sz val="11"/>
      <x:color rgb="17365D"/>
      <x:name val="Carlito"/>
    </x:font>
    <x:font>
      <x:b/>
      <x:sz val="14"/>
      <x:color rgb="17365D"/>
      <x:name val="Carlito"/>
    </x:font>
    <x:font>
      <x:b/>
      <x:sz val="11"/>
      <x:name val="Carlito"/>
    </x:font>
    <x:font>
      <x:b/>
      <x:sz val="16"/>
      <x:color rgb="FFFFFF"/>
      <x:name val="Carlito"/>
    </x:font>
    <x:font>
      <x:b/>
      <x:sz val="10"/>
      <x:color rgb="FFFFFF"/>
      <x:name val="Microsoft YaHei"/>
    </x:font>
    <x:font>
      <x:sz val="1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EEF4FA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201" fontId="6" fillId="7" borderId="0" xfId="0" applyNumberFormat="1" applyFont="1" applyFill="1" applyBorder="1" applyAlignment="1">
      <x:alignment horizontal="center"/>
    </x:xf>
    <x:xf numFmtId="201" fontId="6" fillId="7" borderId="1" xfId="0" applyNumberFormat="1" applyFont="1" applyFill="1" applyBorder="1" applyAlignment="1">
      <x:alignment horizontal="center"/>
    </x:xf>
    <x:xf numFmtId="202" fontId="6" fillId="7" borderId="0" xfId="0" applyNumberFormat="1" applyFont="1" applyFill="1" applyBorder="1" applyAlignment="1">
      <x:alignment horizontal="center"/>
    </x:xf>
    <x:xf numFmtId="202" fontId="6" fillId="7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1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200" fontId="8" fillId="2" borderId="1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201" fontId="8" fillId="2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ont>
        <x:color rgb="DC2626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0fc42d7db4019" /><Relationship Type="http://schemas.openxmlformats.org/officeDocument/2006/relationships/theme" Target="/xl/theme/theme1.xml" Id="Rcdf91ad5b4954976" /><Relationship Type="http://schemas.openxmlformats.org/officeDocument/2006/relationships/sharedStrings" Target="/xl/sharedStrings.xml" Id="R8086407c010a4104" /><Relationship Type="http://schemas.openxmlformats.org/officeDocument/2006/relationships/worksheet" Target="/xl/worksheets/sheet1.xml" Id="Rcb7a861397da4873" /><Relationship Type="http://schemas.openxmlformats.org/officeDocument/2006/relationships/worksheet" Target="/xl/worksheets/sheet2.xml" Id="R46b4920869fa4345" /><Relationship Type="http://schemas.openxmlformats.org/officeDocument/2006/relationships/worksheet" Target="/xl/worksheets/sheet3.xml" Id="R148f231bf38a45db" /><Relationship Type="http://schemas.openxmlformats.org/officeDocument/2006/relationships/worksheet" Target="/xl/worksheets/sheet4.xml" Id="Rf44d553086cb415e" /><Relationship Type="http://schemas.openxmlformats.org/officeDocument/2006/relationships/worksheet" Target="/xl/worksheets/sheet5.xml" Id="R47cad38f32f04b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db56fea37b4b11" /><Relationship Type="http://schemas.openxmlformats.org/officeDocument/2006/relationships/chart" Target="/xl/drawings/charts/chart2.xml" Id="Ra30809560cb443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3e33ba6f28a4bb2" /><Relationship Type="http://schemas.openxmlformats.org/officeDocument/2006/relationships/chart" Target="/xl/drawings/charts/chart4.xml" Id="Rdf8affb3aa90408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收入</c:v>
          </c:tx>
          <c:cat>
            <c:strRef>
              <c:f>'财务汇总'!$A$13:$A$18</c:f>
              <c:strCache>
                <c:ptCount val="0"/>
              </c:strCache>
            </c:strRef>
          </c:cat>
          <c:val>
            <c:numRef>
              <c:f>'财务汇总'!$B$13:$B$18</c:f>
              <c:numCache>
                <c:formatCode>¥#,##0;[Red]-¥#,##0</c:formatCode>
                <c:ptCount val="0"/>
              </c:numCache>
            </c:numRef>
          </c:val>
        </c:ser>
        <c:ser>
          <c:idx val="1"/>
          <c:order val="1"/>
          <c:tx>
            <c:v>支出</c:v>
          </c:tx>
          <c:cat>
            <c:strRef>
              <c:f>'财务汇总'!$A$13:$A$18</c:f>
              <c:strCache>
                <c:ptCount val="0"/>
              </c:strCache>
            </c:strRef>
          </c:cat>
          <c:val>
            <c:numRef>
              <c:f>'财务汇总'!$C$13:$C$18</c:f>
              <c:numCache>
                <c:formatCode>¥#,##0;[Red]-¥#,##0</c:formatCode>
                <c:ptCount val="0"/>
              </c:numCache>
            </c:numRef>
          </c:val>
        </c:ser>
        <c:ser>
          <c:idx val="2"/>
          <c:order val="2"/>
          <c:tx>
            <c:v>净利润</c:v>
          </c:tx>
          <c:cat>
            <c:strRef>
              <c:f>'财务汇总'!$A$13:$A$18</c:f>
              <c:strCache>
                <c:ptCount val="0"/>
              </c:strCache>
            </c:strRef>
          </c:cat>
          <c:val>
            <c:numRef>
              <c:f>'财务汇总'!$D$13:$D$18</c:f>
              <c:numCache>
                <c:formatCode>¥#,##0;[Red]-¥#,##0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月度净利率趋势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收入</c:v>
          </c:tx>
          <c:cat>
            <c:strRef>
              <c:f>'财务汇总'!$A$13:$A$18</c:f>
              <c:strCache>
                <c:ptCount val="0"/>
              </c:strCache>
            </c:strRef>
          </c:cat>
          <c:val>
            <c:numRef>
              <c:f>'财务汇总'!$B$13:$B$18</c:f>
              <c:numCache>
                <c:formatCode>¥#,##0;[Red]-¥#,##0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支出</c:v>
          </c:tx>
          <c:cat>
            <c:strRef>
              <c:f>'财务汇总'!$A$13:$A$18</c:f>
              <c:strCache>
                <c:ptCount val="0"/>
              </c:strCache>
            </c:strRef>
          </c:cat>
          <c:val>
            <c:numRef>
              <c:f>'财务汇总'!$C$13:$C$18</c:f>
              <c:numCache>
                <c:formatCode>¥#,##0;[Red]-¥#,##0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净利润</c:v>
          </c:tx>
          <c:cat>
            <c:strRef>
              <c:f>'财务汇总'!$A$13:$A$18</c:f>
              <c:strCache>
                <c:ptCount val="0"/>
              </c:strCache>
            </c:strRef>
          </c:cat>
          <c:val>
            <c:numRef>
              <c:f>'财务汇总'!$D$13:$D$18</c:f>
              <c:numCache>
                <c:formatCode>¥#,##0;[Red]-¥#,##0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净利率</c:v>
          </c:tx>
          <c:cat>
            <c:strRef>
              <c:f>'财务汇总'!$A$13:$A$18</c:f>
              <c:strCache>
                <c:ptCount val="0"/>
              </c:strCache>
            </c:strRef>
          </c:cat>
          <c:val>
            <c:numRef>
              <c:f>'财务汇总'!$E$13:$E$18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金额</c:v>
          </c:tx>
          <c:cat>
            <c:strRef>
              <c:f>'分类汇总'!$A$4:$A$11</c:f>
              <c:strCache>
                <c:ptCount val="0"/>
              </c:strCache>
            </c:strRef>
          </c:cat>
          <c:val>
            <c:numRef>
              <c:f>'分类汇总'!$B$4:$B$11</c:f>
              <c:numCache>
                <c:formatCode>¥#,##0;[Red]-¥#,##0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金额</c:v>
          </c:tx>
          <c:cat>
            <c:strRef>
              <c:f>'分类汇总'!$E$4:$E$7</c:f>
              <c:strCache>
                <c:ptCount val="0"/>
              </c:strCache>
            </c:strRef>
          </c:cat>
          <c:val>
            <c:numRef>
              <c:f>'分类汇总'!$F$4:$F$7</c:f>
              <c:numCache>
                <c:formatCode>¥#,##0;[Red]-¥#,##0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db56fea37b4b1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0809560cb4430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e33ba6f28a4bb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8affb3aa9040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eDataTable" displayName="FinanceDataTable" ref="A1:I37" headerRowCount="1">
  <x:tableColumns count="9">
    <x:tableColumn id="1" name="日期"/>
    <x:tableColumn id="2" name="月份"/>
    <x:tableColumn id="3" name="部门"/>
    <x:tableColumn id="4" name="项目/客户"/>
    <x:tableColumn id="5" name="类型"/>
    <x:tableColumn id="6" name="分类"/>
    <x:tableColumn id="7" name="账户"/>
    <x:tableColumn id="8" name="金额"/>
    <x:tableColumn id="9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MonthlySummaryTable" displayName="MonthlySummaryTable" ref="A12:G18" headerRowCount="1">
  <x:tableColumns count="7">
    <x:tableColumn id="1" name="月份"/>
    <x:tableColumn id="2" name="收入"/>
    <x:tableColumn id="3" name="支出"/>
    <x:tableColumn id="4" name="净利润"/>
    <x:tableColumn id="5" name="净利率"/>
    <x:tableColumn id="6" name="收入环比"/>
    <x:tableColumn id="7" name="支出占收入"/>
  </x:tableColumns>
  <x:tableStyleInfo name="TableStyleMedium2" showRowStripes="1"/>
</x:table>
</file>

<file path=xl/tables/table3.xml><?xml version="1.0" encoding="utf-8"?>
<x:table xmlns:x="http://schemas.openxmlformats.org/spreadsheetml/2006/main" id="3" name="ExpenseCategoryTable" displayName="ExpenseCategoryTable" ref="A3:C11" headerRowCount="1">
  <x:tableColumns count="3">
    <x:tableColumn id="1" name="支出分类"/>
    <x:tableColumn id="2" name="金额"/>
    <x:tableColumn id="3" name="占总支出"/>
  </x:tableColumns>
  <x:tableStyleInfo name="TableStyleMedium2" showRowStripes="1"/>
</x:table>
</file>

<file path=xl/tables/table4.xml><?xml version="1.0" encoding="utf-8"?>
<x:table xmlns:x="http://schemas.openxmlformats.org/spreadsheetml/2006/main" id="4" name="IncomeCategoryTable" displayName="IncomeCategoryTable" ref="E3:G7" headerRowCount="1">
  <x:tableColumns count="3">
    <x:tableColumn id="1" name="收入分类"/>
    <x:tableColumn id="2" name="金额"/>
    <x:tableColumn id="3" name="占总收入"/>
  </x:tableColumns>
  <x:tableStyleInfo name="TableStyleMedium2" showRowStripes="1"/>
</x:table>
</file>

<file path=xl/tables/table5.xml><?xml version="1.0" encoding="utf-8"?>
<x:table xmlns:x="http://schemas.openxmlformats.org/spreadsheetml/2006/main" id="5" name="DeptSummaryTable" displayName="DeptSummaryTable" ref="A14:D20" headerRowCount="1">
  <x:tableColumns count="4">
    <x:tableColumn id="1" name="部门"/>
    <x:tableColumn id="2" name="收入"/>
    <x:tableColumn id="3" name="支出"/>
    <x:tableColumn id="4" name="净额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8eca9fe61947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50a64f99c9547cc" /><Relationship Type="http://schemas.openxmlformats.org/officeDocument/2006/relationships/table" Target="/xl/tables/table2.xml" Id="R786ffadac27c49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dccbcc047c04ebd" /><Relationship Type="http://schemas.openxmlformats.org/officeDocument/2006/relationships/table" Target="/xl/tables/table3.xml" Id="R80c7bd3696be4c3d" /><Relationship Type="http://schemas.openxmlformats.org/officeDocument/2006/relationships/table" Target="/xl/tables/table4.xml" Id="Rc613f95fd6c14f36" /><Relationship Type="http://schemas.openxmlformats.org/officeDocument/2006/relationships/table" Target="/xl/tables/table5.xml" Id="R6ebf6e2755c0436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8" hidden="0" customWidth="1"/>
    <x:col min="5" max="5" width="10" hidden="0" customWidth="1"/>
    <x:col min="6" max="6" width="14" hidden="0" customWidth="1"/>
    <x:col min="7" max="7" width="12" hidden="0" customWidth="1"/>
    <x:col min="8" max="8" width="13" hidden="0" customWidth="1"/>
    <x:col min="9" max="9" width="24" hidden="0" customWidth="1"/>
  </x:cols>
  <x:sheetData>
    <x:row r="1">
      <x:c r="A1" s="74" t="str">
        <x:v>日期</x:v>
      </x:c>
      <x:c r="B1" s="75" t="str">
        <x:v>月份</x:v>
      </x:c>
      <x:c r="C1" s="75" t="str">
        <x:v>部门</x:v>
      </x:c>
      <x:c r="D1" s="75" t="str">
        <x:v>项目/客户</x:v>
      </x:c>
      <x:c r="E1" s="75" t="str">
        <x:v>类型</x:v>
      </x:c>
      <x:c r="F1" s="75" t="str">
        <x:v>分类</x:v>
      </x:c>
      <x:c r="G1" s="75" t="str">
        <x:v>账户</x:v>
      </x:c>
      <x:c r="H1" s="76" t="str">
        <x:v>金额</x:v>
      </x:c>
      <x:c r="I1" s="75" t="str">
        <x:v>备注</x:v>
      </x:c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A2" t="n">
        <x:v>46025</x:v>
      </x:c>
      <x:c r="B2" t="str">
        <x:v>2026-01</x:v>
      </x:c>
      <x:c r="C2" t="str">
        <x:v>销售部</x:v>
      </x:c>
      <x:c r="D2" t="str">
        <x:v>华东客户 A</x:v>
      </x:c>
      <x:c r="E2" t="str">
        <x:v>收入</x:v>
      </x:c>
      <x:c r="F2" t="str">
        <x:v>产品销售</x:v>
      </x:c>
      <x:c r="G2" t="str">
        <x:v>现金</x:v>
      </x:c>
      <x:c r="H2" t="n">
        <x:v>180000</x:v>
      </x:c>
      <x:c r="I2" t="str">
        <x:v>示例：1 月核心产品回款</x:v>
      </x:c>
    </x:row>
    <x:row r="3">
      <x:c r="A3" t="n">
        <x:v>46029</x:v>
      </x:c>
      <x:c r="B3" t="str">
        <x:v>2026-01</x:v>
      </x:c>
      <x:c r="C3" t="str">
        <x:v>销售部</x:v>
      </x:c>
      <x:c r="D3" t="str">
        <x:v>续费客户 B</x:v>
      </x:c>
      <x:c r="E3" t="str">
        <x:v>收入</x:v>
      </x:c>
      <x:c r="F3" t="str">
        <x:v>会员订阅</x:v>
      </x:c>
      <x:c r="G3" t="str">
        <x:v>银行转账</x:v>
      </x:c>
      <x:c r="H3" t="n">
        <x:v>42000</x:v>
      </x:c>
      <x:c r="I3" t="str">
        <x:v>年度订阅收入</x:v>
      </x:c>
    </x:row>
    <x:row r="4">
      <x:c r="A4" t="n">
        <x:v>46032</x:v>
      </x:c>
      <x:c r="B4" t="str">
        <x:v>2026-01</x:v>
      </x:c>
      <x:c r="C4" t="str">
        <x:v>运营部</x:v>
      </x:c>
      <x:c r="D4" t="str">
        <x:v>供应商采购</x:v>
      </x:c>
      <x:c r="E4" t="str">
        <x:v>支出</x:v>
      </x:c>
      <x:c r="F4" t="str">
        <x:v>采购成本</x:v>
      </x:c>
      <x:c r="G4" t="str">
        <x:v>银行转账</x:v>
      </x:c>
      <x:c r="H4" t="n">
        <x:v>58000</x:v>
      </x:c>
      <x:c r="I4" t="str">
        <x:v>原材料及包装</x:v>
      </x:c>
    </x:row>
    <x:row r="5">
      <x:c r="A5" t="n">
        <x:v>46037</x:v>
      </x:c>
      <x:c r="B5" t="str">
        <x:v>2026-01</x:v>
      </x:c>
      <x:c r="C5" t="str">
        <x:v>行政部</x:v>
      </x:c>
      <x:c r="D5" t="str">
        <x:v>员工薪资</x:v>
      </x:c>
      <x:c r="E5" t="str">
        <x:v>支出</x:v>
      </x:c>
      <x:c r="F5" t="str">
        <x:v>人员工资</x:v>
      </x:c>
      <x:c r="G5" t="str">
        <x:v>银行转账</x:v>
      </x:c>
      <x:c r="H5" t="n">
        <x:v>76000</x:v>
      </x:c>
      <x:c r="I5" t="str">
        <x:v>1 月工资</x:v>
      </x:c>
    </x:row>
    <x:row r="6">
      <x:c r="A6" t="n">
        <x:v>46042</x:v>
      </x:c>
      <x:c r="B6" t="str">
        <x:v>2026-01</x:v>
      </x:c>
      <x:c r="C6" t="str">
        <x:v>市场部</x:v>
      </x:c>
      <x:c r="D6" t="str">
        <x:v>投放平台</x:v>
      </x:c>
      <x:c r="E6" t="str">
        <x:v>支出</x:v>
      </x:c>
      <x:c r="F6" t="str">
        <x:v>市场推广</x:v>
      </x:c>
      <x:c r="G6" t="str">
        <x:v>信用卡</x:v>
      </x:c>
      <x:c r="H6" t="n">
        <x:v>22000</x:v>
      </x:c>
      <x:c r="I6" t="str">
        <x:v>春节投放</x:v>
      </x:c>
    </x:row>
    <x:row r="7">
      <x:c r="A7" t="n">
        <x:v>46047</x:v>
      </x:c>
      <x:c r="B7" t="str">
        <x:v>2026-01</x:v>
      </x:c>
      <x:c r="C7" t="str">
        <x:v>行政部</x:v>
      </x:c>
      <x:c r="D7" t="str">
        <x:v>办公室租金</x:v>
      </x:c>
      <x:c r="E7" t="str">
        <x:v>支出</x:v>
      </x:c>
      <x:c r="F7" t="str">
        <x:v>房租物业</x:v>
      </x:c>
      <x:c r="G7" t="str">
        <x:v>银行转账</x:v>
      </x:c>
      <x:c r="H7" t="n">
        <x:v>18000</x:v>
      </x:c>
      <x:c r="I7" t="str">
        <x:v>1 月租金</x:v>
      </x:c>
    </x:row>
    <x:row r="8">
      <x:c r="A8" t="n">
        <x:v>46057</x:v>
      </x:c>
      <x:c r="B8" t="str">
        <x:v>2026-02</x:v>
      </x:c>
      <x:c r="C8" t="str">
        <x:v>销售部</x:v>
      </x:c>
      <x:c r="D8" t="str">
        <x:v>华南客户 C</x:v>
      </x:c>
      <x:c r="E8" t="str">
        <x:v>收入</x:v>
      </x:c>
      <x:c r="F8" t="str">
        <x:v>产品销售</x:v>
      </x:c>
      <x:c r="G8" t="str">
        <x:v>银行转账</x:v>
      </x:c>
      <x:c r="H8" t="n">
        <x:v>205000</x:v>
      </x:c>
      <x:c r="I8" t="str">
        <x:v>新增订单</x:v>
      </x:c>
    </x:row>
    <x:row r="9">
      <x:c r="A9" t="n">
        <x:v>46061</x:v>
      </x:c>
      <x:c r="B9" t="str">
        <x:v>2026-02</x:v>
      </x:c>
      <x:c r="C9" t="str">
        <x:v>销售部</x:v>
      </x:c>
      <x:c r="D9" t="str">
        <x:v>咨询项目 D</x:v>
      </x:c>
      <x:c r="E9" t="str">
        <x:v>收入</x:v>
      </x:c>
      <x:c r="F9" t="str">
        <x:v>服务收入</x:v>
      </x:c>
      <x:c r="G9" t="str">
        <x:v>银行转账</x:v>
      </x:c>
      <x:c r="H9" t="n">
        <x:v>36000</x:v>
      </x:c>
      <x:c r="I9" t="str">
        <x:v>交付验收</x:v>
      </x:c>
    </x:row>
    <x:row r="10">
      <x:c r="A10" t="n">
        <x:v>46064</x:v>
      </x:c>
      <x:c r="B10" t="str">
        <x:v>2026-02</x:v>
      </x:c>
      <x:c r="C10" t="str">
        <x:v>运营部</x:v>
      </x:c>
      <x:c r="D10" t="str">
        <x:v>供应商采购</x:v>
      </x:c>
      <x:c r="E10" t="str">
        <x:v>支出</x:v>
      </x:c>
      <x:c r="F10" t="str">
        <x:v>采购成本</x:v>
      </x:c>
      <x:c r="G10" t="str">
        <x:v>银行转账</x:v>
      </x:c>
      <x:c r="H10" t="n">
        <x:v>65000</x:v>
      </x:c>
      <x:c r="I10" t="str">
        <x:v>库存补货</x:v>
      </x:c>
    </x:row>
    <x:row r="11">
      <x:c r="A11" t="n">
        <x:v>46067</x:v>
      </x:c>
      <x:c r="B11" t="str">
        <x:v>2026-02</x:v>
      </x:c>
      <x:c r="C11" t="str">
        <x:v>行政部</x:v>
      </x:c>
      <x:c r="D11" t="str">
        <x:v>员工薪资</x:v>
      </x:c>
      <x:c r="E11" t="str">
        <x:v>支出</x:v>
      </x:c>
      <x:c r="F11" t="str">
        <x:v>人员工资</x:v>
      </x:c>
      <x:c r="G11" t="str">
        <x:v>银行转账</x:v>
      </x:c>
      <x:c r="H11" t="n">
        <x:v>78000</x:v>
      </x:c>
      <x:c r="I11" t="str">
        <x:v>2 月工资</x:v>
      </x:c>
    </x:row>
    <x:row r="12">
      <x:c r="A12" t="n">
        <x:v>46071</x:v>
      </x:c>
      <x:c r="B12" t="str">
        <x:v>2026-02</x:v>
      </x:c>
      <x:c r="C12" t="str">
        <x:v>研发部</x:v>
      </x:c>
      <x:c r="D12" t="str">
        <x:v>云服务订阅</x:v>
      </x:c>
      <x:c r="E12" t="str">
        <x:v>支出</x:v>
      </x:c>
      <x:c r="F12" t="str">
        <x:v>软件订阅</x:v>
      </x:c>
      <x:c r="G12" t="str">
        <x:v>信用卡</x:v>
      </x:c>
      <x:c r="H12" t="n">
        <x:v>9500</x:v>
      </x:c>
      <x:c r="I12" t="str">
        <x:v>开发环境</x:v>
      </x:c>
    </x:row>
    <x:row r="13">
      <x:c r="A13" t="n">
        <x:v>46080</x:v>
      </x:c>
      <x:c r="B13" t="str">
        <x:v>2026-02</x:v>
      </x:c>
      <x:c r="C13" t="str">
        <x:v>财务部</x:v>
      </x:c>
      <x:c r="D13" t="str">
        <x:v>增值税及附加</x:v>
      </x:c>
      <x:c r="E13" t="str">
        <x:v>支出</x:v>
      </x:c>
      <x:c r="F13" t="str">
        <x:v>税费</x:v>
      </x:c>
      <x:c r="G13" t="str">
        <x:v>银行转账</x:v>
      </x:c>
      <x:c r="H13" t="n">
        <x:v>12000</x:v>
      </x:c>
      <x:c r="I13" t="str">
        <x:v>示例税费</x:v>
      </x:c>
    </x:row>
    <x:row r="14">
      <x:c r="A14" t="n">
        <x:v>46083</x:v>
      </x:c>
      <x:c r="B14" t="str">
        <x:v>2026-03</x:v>
      </x:c>
      <x:c r="C14" t="str">
        <x:v>销售部</x:v>
      </x:c>
      <x:c r="D14" t="str">
        <x:v>华北客户 E</x:v>
      </x:c>
      <x:c r="E14" t="str">
        <x:v>收入</x:v>
      </x:c>
      <x:c r="F14" t="str">
        <x:v>产品销售</x:v>
      </x:c>
      <x:c r="G14" t="str">
        <x:v>银行转账</x:v>
      </x:c>
      <x:c r="H14" t="n">
        <x:v>236000</x:v>
      </x:c>
      <x:c r="I14" t="str">
        <x:v>季度促销订单</x:v>
      </x:c>
    </x:row>
    <x:row r="15">
      <x:c r="A15" t="n">
        <x:v>46087</x:v>
      </x:c>
      <x:c r="B15" t="str">
        <x:v>2026-03</x:v>
      </x:c>
      <x:c r="C15" t="str">
        <x:v>销售部</x:v>
      </x:c>
      <x:c r="D15" t="str">
        <x:v>服务客户 F</x:v>
      </x:c>
      <x:c r="E15" t="str">
        <x:v>收入</x:v>
      </x:c>
      <x:c r="F15" t="str">
        <x:v>服务收入</x:v>
      </x:c>
      <x:c r="G15" t="str">
        <x:v>银行转账</x:v>
      </x:c>
      <x:c r="H15" t="n">
        <x:v>51000</x:v>
      </x:c>
      <x:c r="I15" t="str">
        <x:v>实施服务</x:v>
      </x:c>
    </x:row>
    <x:row r="16">
      <x:c r="A16" t="n">
        <x:v>46090</x:v>
      </x:c>
      <x:c r="B16" t="str">
        <x:v>2026-03</x:v>
      </x:c>
      <x:c r="C16" t="str">
        <x:v>运营部</x:v>
      </x:c>
      <x:c r="D16" t="str">
        <x:v>供应商采购</x:v>
      </x:c>
      <x:c r="E16" t="str">
        <x:v>支出</x:v>
      </x:c>
      <x:c r="F16" t="str">
        <x:v>采购成本</x:v>
      </x:c>
      <x:c r="G16" t="str">
        <x:v>银行转账</x:v>
      </x:c>
      <x:c r="H16" t="n">
        <x:v>72000</x:v>
      </x:c>
      <x:c r="I16" t="str">
        <x:v>生产物料</x:v>
      </x:c>
    </x:row>
    <x:row r="17">
      <x:c r="A17" t="n">
        <x:v>46095</x:v>
      </x:c>
      <x:c r="B17" t="str">
        <x:v>2026-03</x:v>
      </x:c>
      <x:c r="C17" t="str">
        <x:v>行政部</x:v>
      </x:c>
      <x:c r="D17" t="str">
        <x:v>员工薪资</x:v>
      </x:c>
      <x:c r="E17" t="str">
        <x:v>支出</x:v>
      </x:c>
      <x:c r="F17" t="str">
        <x:v>人员工资</x:v>
      </x:c>
      <x:c r="G17" t="str">
        <x:v>银行转账</x:v>
      </x:c>
      <x:c r="H17" t="n">
        <x:v>79000</x:v>
      </x:c>
      <x:c r="I17" t="str">
        <x:v>3 月工资</x:v>
      </x:c>
    </x:row>
    <x:row r="18">
      <x:c r="A18" t="n">
        <x:v>46098</x:v>
      </x:c>
      <x:c r="B18" t="str">
        <x:v>2026-03</x:v>
      </x:c>
      <x:c r="C18" t="str">
        <x:v>市场部</x:v>
      </x:c>
      <x:c r="D18" t="str">
        <x:v>展会费用</x:v>
      </x:c>
      <x:c r="E18" t="str">
        <x:v>支出</x:v>
      </x:c>
      <x:c r="F18" t="str">
        <x:v>市场推广</x:v>
      </x:c>
      <x:c r="G18" t="str">
        <x:v>现金</x:v>
      </x:c>
      <x:c r="H18" t="n">
        <x:v>28000</x:v>
      </x:c>
      <x:c r="I18" t="str">
        <x:v>行业展会</x:v>
      </x:c>
    </x:row>
    <x:row r="19">
      <x:c r="A19" t="n">
        <x:v>46103</x:v>
      </x:c>
      <x:c r="B19" t="str">
        <x:v>2026-03</x:v>
      </x:c>
      <x:c r="C19" t="str">
        <x:v>行政部</x:v>
      </x:c>
      <x:c r="D19" t="str">
        <x:v>差旅报销</x:v>
      </x:c>
      <x:c r="E19" t="str">
        <x:v>支出</x:v>
      </x:c>
      <x:c r="F19" t="str">
        <x:v>差旅交通</x:v>
      </x:c>
      <x:c r="G19" t="str">
        <x:v>现金</x:v>
      </x:c>
      <x:c r="H19" t="n">
        <x:v>8500</x:v>
      </x:c>
      <x:c r="I19" t="str">
        <x:v>销售差旅</x:v>
      </x:c>
    </x:row>
    <x:row r="20">
      <x:c r="A20" t="n">
        <x:v>46115</x:v>
      </x:c>
      <x:c r="B20" t="str">
        <x:v>2026-04</x:v>
      </x:c>
      <x:c r="C20" t="str">
        <x:v>销售部</x:v>
      </x:c>
      <x:c r="D20" t="str">
        <x:v>华东客户 A</x:v>
      </x:c>
      <x:c r="E20" t="str">
        <x:v>收入</x:v>
      </x:c>
      <x:c r="F20" t="str">
        <x:v>产品销售</x:v>
      </x:c>
      <x:c r="G20" t="str">
        <x:v>银行转账</x:v>
      </x:c>
      <x:c r="H20" t="n">
        <x:v>248000</x:v>
      </x:c>
      <x:c r="I20" t="str">
        <x:v>复购订单</x:v>
      </x:c>
    </x:row>
    <x:row r="21">
      <x:c r="A21" t="n">
        <x:v>46117</x:v>
      </x:c>
      <x:c r="B21" t="str">
        <x:v>2026-04</x:v>
      </x:c>
      <x:c r="C21" t="str">
        <x:v>销售部</x:v>
      </x:c>
      <x:c r="D21" t="str">
        <x:v>续费客户 G</x:v>
      </x:c>
      <x:c r="E21" t="str">
        <x:v>收入</x:v>
      </x:c>
      <x:c r="F21" t="str">
        <x:v>会员订阅</x:v>
      </x:c>
      <x:c r="G21" t="str">
        <x:v>银行转账</x:v>
      </x:c>
      <x:c r="H21" t="n">
        <x:v>56000</x:v>
      </x:c>
      <x:c r="I21" t="str">
        <x:v>订阅续费</x:v>
      </x:c>
    </x:row>
    <x:row r="22">
      <x:c r="A22" t="n">
        <x:v>46120</x:v>
      </x:c>
      <x:c r="B22" t="str">
        <x:v>2026-04</x:v>
      </x:c>
      <x:c r="C22" t="str">
        <x:v>运营部</x:v>
      </x:c>
      <x:c r="D22" t="str">
        <x:v>供应商采购</x:v>
      </x:c>
      <x:c r="E22" t="str">
        <x:v>支出</x:v>
      </x:c>
      <x:c r="F22" t="str">
        <x:v>采购成本</x:v>
      </x:c>
      <x:c r="G22" t="str">
        <x:v>银行转账</x:v>
      </x:c>
      <x:c r="H22" t="n">
        <x:v>76000</x:v>
      </x:c>
      <x:c r="I22" t="str">
        <x:v>生产物料</x:v>
      </x:c>
    </x:row>
    <x:row r="23">
      <x:c r="A23" t="n">
        <x:v>46127</x:v>
      </x:c>
      <x:c r="B23" t="str">
        <x:v>2026-04</x:v>
      </x:c>
      <x:c r="C23" t="str">
        <x:v>行政部</x:v>
      </x:c>
      <x:c r="D23" t="str">
        <x:v>员工薪资</x:v>
      </x:c>
      <x:c r="E23" t="str">
        <x:v>支出</x:v>
      </x:c>
      <x:c r="F23" t="str">
        <x:v>人员工资</x:v>
      </x:c>
      <x:c r="G23" t="str">
        <x:v>银行转账</x:v>
      </x:c>
      <x:c r="H23" t="n">
        <x:v>82000</x:v>
      </x:c>
      <x:c r="I23" t="str">
        <x:v>4 月工资</x:v>
      </x:c>
    </x:row>
    <x:row r="24">
      <x:c r="A24" t="n">
        <x:v>46128</x:v>
      </x:c>
      <x:c r="B24" t="str">
        <x:v>2026-04</x:v>
      </x:c>
      <x:c r="C24" t="str">
        <x:v>行政部</x:v>
      </x:c>
      <x:c r="D24" t="str">
        <x:v>办公室租金</x:v>
      </x:c>
      <x:c r="E24" t="str">
        <x:v>支出</x:v>
      </x:c>
      <x:c r="F24" t="str">
        <x:v>房租物业</x:v>
      </x:c>
      <x:c r="G24" t="str">
        <x:v>银行转账</x:v>
      </x:c>
      <x:c r="H24" t="n">
        <x:v>18000</x:v>
      </x:c>
      <x:c r="I24" t="str">
        <x:v>4 月租金</x:v>
      </x:c>
    </x:row>
    <x:row r="25">
      <x:c r="A25" t="n">
        <x:v>46137</x:v>
      </x:c>
      <x:c r="B25" t="str">
        <x:v>2026-04</x:v>
      </x:c>
      <x:c r="C25" t="str">
        <x:v>研发部</x:v>
      </x:c>
      <x:c r="D25" t="str">
        <x:v>软件采购</x:v>
      </x:c>
      <x:c r="E25" t="str">
        <x:v>支出</x:v>
      </x:c>
      <x:c r="F25" t="str">
        <x:v>软件订阅</x:v>
      </x:c>
      <x:c r="G25" t="str">
        <x:v>信用卡</x:v>
      </x:c>
      <x:c r="H25" t="n">
        <x:v>11500</x:v>
      </x:c>
      <x:c r="I25" t="str">
        <x:v>项目工具</x:v>
      </x:c>
    </x:row>
    <x:row r="26">
      <x:c r="A26" t="n">
        <x:v>46146</x:v>
      </x:c>
      <x:c r="B26" t="str">
        <x:v>2026-05</x:v>
      </x:c>
      <x:c r="C26" t="str">
        <x:v>销售部</x:v>
      </x:c>
      <x:c r="D26" t="str">
        <x:v>华南客户 C</x:v>
      </x:c>
      <x:c r="E26" t="str">
        <x:v>收入</x:v>
      </x:c>
      <x:c r="F26" t="str">
        <x:v>产品销售</x:v>
      </x:c>
      <x:c r="G26" t="str">
        <x:v>银行转账</x:v>
      </x:c>
      <x:c r="H26" t="n">
        <x:v>262000</x:v>
      </x:c>
      <x:c r="I26" t="str">
        <x:v>新增订单</x:v>
      </x:c>
    </x:row>
    <x:row r="27">
      <x:c r="A27" t="n">
        <x:v>46148</x:v>
      </x:c>
      <x:c r="B27" t="str">
        <x:v>2026-05</x:v>
      </x:c>
      <x:c r="C27" t="str">
        <x:v>销售部</x:v>
      </x:c>
      <x:c r="D27" t="str">
        <x:v>服务客户 H</x:v>
      </x:c>
      <x:c r="E27" t="str">
        <x:v>收入</x:v>
      </x:c>
      <x:c r="F27" t="str">
        <x:v>服务收入</x:v>
      </x:c>
      <x:c r="G27" t="str">
        <x:v>银行转账</x:v>
      </x:c>
      <x:c r="H27" t="n">
        <x:v>62000</x:v>
      </x:c>
      <x:c r="I27" t="str">
        <x:v>运维服务</x:v>
      </x:c>
    </x:row>
    <x:row r="28">
      <x:c r="A28" t="n">
        <x:v>46151</x:v>
      </x:c>
      <x:c r="B28" t="str">
        <x:v>2026-05</x:v>
      </x:c>
      <x:c r="C28" t="str">
        <x:v>运营部</x:v>
      </x:c>
      <x:c r="D28" t="str">
        <x:v>供应商采购</x:v>
      </x:c>
      <x:c r="E28" t="str">
        <x:v>支出</x:v>
      </x:c>
      <x:c r="F28" t="str">
        <x:v>采购成本</x:v>
      </x:c>
      <x:c r="G28" t="str">
        <x:v>银行转账</x:v>
      </x:c>
      <x:c r="H28" t="n">
        <x:v>82000</x:v>
      </x:c>
      <x:c r="I28" t="str">
        <x:v>库存补货</x:v>
      </x:c>
    </x:row>
    <x:row r="29">
      <x:c r="A29" t="n">
        <x:v>46156</x:v>
      </x:c>
      <x:c r="B29" t="str">
        <x:v>2026-05</x:v>
      </x:c>
      <x:c r="C29" t="str">
        <x:v>行政部</x:v>
      </x:c>
      <x:c r="D29" t="str">
        <x:v>员工薪资</x:v>
      </x:c>
      <x:c r="E29" t="str">
        <x:v>支出</x:v>
      </x:c>
      <x:c r="F29" t="str">
        <x:v>人员工资</x:v>
      </x:c>
      <x:c r="G29" t="str">
        <x:v>银行转账</x:v>
      </x:c>
      <x:c r="H29" t="n">
        <x:v>83000</x:v>
      </x:c>
      <x:c r="I29" t="str">
        <x:v>5 月工资</x:v>
      </x:c>
    </x:row>
    <x:row r="30">
      <x:c r="A30" t="n">
        <x:v>46160</x:v>
      </x:c>
      <x:c r="B30" t="str">
        <x:v>2026-05</x:v>
      </x:c>
      <x:c r="C30" t="str">
        <x:v>市场部</x:v>
      </x:c>
      <x:c r="D30" t="str">
        <x:v>广告投放</x:v>
      </x:c>
      <x:c r="E30" t="str">
        <x:v>支出</x:v>
      </x:c>
      <x:c r="F30" t="str">
        <x:v>市场推广</x:v>
      </x:c>
      <x:c r="G30" t="str">
        <x:v>信用卡</x:v>
      </x:c>
      <x:c r="H30" t="n">
        <x:v>35000</x:v>
      </x:c>
      <x:c r="I30" t="str">
        <x:v>新品推广</x:v>
      </x:c>
    </x:row>
    <x:row r="31">
      <x:c r="A31" t="n">
        <x:v>46169</x:v>
      </x:c>
      <x:c r="B31" t="str">
        <x:v>2026-05</x:v>
      </x:c>
      <x:c r="C31" t="str">
        <x:v>财务部</x:v>
      </x:c>
      <x:c r="D31" t="str">
        <x:v>税费</x:v>
      </x:c>
      <x:c r="E31" t="str">
        <x:v>支出</x:v>
      </x:c>
      <x:c r="F31" t="str">
        <x:v>税费</x:v>
      </x:c>
      <x:c r="G31" t="str">
        <x:v>银行转账</x:v>
      </x:c>
      <x:c r="H31" t="n">
        <x:v>15500</x:v>
      </x:c>
      <x:c r="I31" t="str">
        <x:v>示例税费</x:v>
      </x:c>
    </x:row>
    <x:row r="32">
      <x:c r="A32" t="n">
        <x:v>46176</x:v>
      </x:c>
      <x:c r="B32" t="str">
        <x:v>2026-06</x:v>
      </x:c>
      <x:c r="C32" t="str">
        <x:v>销售部</x:v>
      </x:c>
      <x:c r="D32" t="str">
        <x:v>华北客户 I</x:v>
      </x:c>
      <x:c r="E32" t="str">
        <x:v>收入</x:v>
      </x:c>
      <x:c r="F32" t="str">
        <x:v>产品销售</x:v>
      </x:c>
      <x:c r="G32" t="str">
        <x:v>银行转账</x:v>
      </x:c>
      <x:c r="H32" t="n">
        <x:v>286000</x:v>
      </x:c>
      <x:c r="I32" t="str">
        <x:v>大客户订单</x:v>
      </x:c>
    </x:row>
    <x:row r="33">
      <x:c r="A33" t="n">
        <x:v>46180</x:v>
      </x:c>
      <x:c r="B33" t="str">
        <x:v>2026-06</x:v>
      </x:c>
      <x:c r="C33" t="str">
        <x:v>销售部</x:v>
      </x:c>
      <x:c r="D33" t="str">
        <x:v>咨询项目 J</x:v>
      </x:c>
      <x:c r="E33" t="str">
        <x:v>收入</x:v>
      </x:c>
      <x:c r="F33" t="str">
        <x:v>服务收入</x:v>
      </x:c>
      <x:c r="G33" t="str">
        <x:v>银行转账</x:v>
      </x:c>
      <x:c r="H33" t="n">
        <x:v>68000</x:v>
      </x:c>
      <x:c r="I33" t="str">
        <x:v>咨询收入</x:v>
      </x:c>
    </x:row>
    <x:row r="34">
      <x:c r="A34" t="n">
        <x:v>46183</x:v>
      </x:c>
      <x:c r="B34" t="str">
        <x:v>2026-06</x:v>
      </x:c>
      <x:c r="C34" t="str">
        <x:v>运营部</x:v>
      </x:c>
      <x:c r="D34" t="str">
        <x:v>供应商采购</x:v>
      </x:c>
      <x:c r="E34" t="str">
        <x:v>支出</x:v>
      </x:c>
      <x:c r="F34" t="str">
        <x:v>采购成本</x:v>
      </x:c>
      <x:c r="G34" t="str">
        <x:v>银行转账</x:v>
      </x:c>
      <x:c r="H34" t="n">
        <x:v>90000</x:v>
      </x:c>
      <x:c r="I34" t="str">
        <x:v>生产物料</x:v>
      </x:c>
    </x:row>
    <x:row r="35">
      <x:c r="A35" t="n">
        <x:v>46188</x:v>
      </x:c>
      <x:c r="B35" t="str">
        <x:v>2026-06</x:v>
      </x:c>
      <x:c r="C35" t="str">
        <x:v>行政部</x:v>
      </x:c>
      <x:c r="D35" t="str">
        <x:v>员工薪资</x:v>
      </x:c>
      <x:c r="E35" t="str">
        <x:v>支出</x:v>
      </x:c>
      <x:c r="F35" t="str">
        <x:v>人员工资</x:v>
      </x:c>
      <x:c r="G35" t="str">
        <x:v>银行转账</x:v>
      </x:c>
      <x:c r="H35" t="n">
        <x:v>85000</x:v>
      </x:c>
      <x:c r="I35" t="str">
        <x:v>6 月工资</x:v>
      </x:c>
    </x:row>
    <x:row r="36">
      <x:c r="A36" t="n">
        <x:v>46192</x:v>
      </x:c>
      <x:c r="B36" t="str">
        <x:v>2026-06</x:v>
      </x:c>
      <x:c r="C36" t="str">
        <x:v>行政部</x:v>
      </x:c>
      <x:c r="D36" t="str">
        <x:v>办公用品</x:v>
      </x:c>
      <x:c r="E36" t="str">
        <x:v>支出</x:v>
      </x:c>
      <x:c r="F36" t="str">
        <x:v>办公费用</x:v>
      </x:c>
      <x:c r="G36" t="str">
        <x:v>现金</x:v>
      </x:c>
      <x:c r="H36" t="n">
        <x:v>7200</x:v>
      </x:c>
      <x:c r="I36" t="str">
        <x:v>办公耗材</x:v>
      </x:c>
    </x:row>
    <x:row r="37">
      <x:c r="A37" t="n">
        <x:v>46201</x:v>
      </x:c>
      <x:c r="B37" t="str">
        <x:v>2026-06</x:v>
      </x:c>
      <x:c r="C37" t="str">
        <x:v>销售部</x:v>
      </x:c>
      <x:c r="D37" t="str">
        <x:v>其他收入</x:v>
      </x:c>
      <x:c r="E37" t="str">
        <x:v>收入</x:v>
      </x:c>
      <x:c r="F37" t="str">
        <x:v>其他收入</x:v>
      </x:c>
      <x:c r="G37" t="str">
        <x:v>银行转账</x:v>
      </x:c>
      <x:c r="H37" t="n">
        <x:v>12000</x:v>
      </x:c>
      <x:c r="I37" t="str">
        <x:v>汇兑/补贴示例</x:v>
      </x:c>
    </x:row>
  </x:sheetData>
  <x:conditionalFormatting sqref="E2:E200">
    <x:cfRule type="expression" dxfId="0" priority="1">
      <x:formula>E2="收入"</x:formula>
    </x:cfRule>
    <x:cfRule type="expression" dxfId="1" priority="2">
      <x:formula>E2="支出"</x:formula>
    </x:cfRule>
  </x:conditionalFormatting>
  <x:dataValidations count="3">
    <x:dataValidation type="list" sqref="C2:C200">
      <x:formula1>下拉选项!$B$2:$B$7</x:formula1>
    </x:dataValidation>
    <x:dataValidation type="list" sqref="E2:E200">
      <x:formula1>下拉选项!$A$2:$A$3</x:formula1>
    </x:dataValidation>
    <x:dataValidation type="list" sqref="F2:F200">
      <x:formula1>下拉选项!$C$2:$D$9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8eca9fe61947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</x:cols>
  <x:sheetData>
    <x:row r="1" ht="30" customHeight="1">
      <x:c r="A1" s="84" t="str">
        <x:v>财务数据汇总表（示例）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 ht="22" customHeight="1">
      <x:c r="A2" s="27" t="str">
        <x:v>示例范围：2026 年 1–6 月。请在“明细数据”表中替换/新增记录，汇总公式会自动更新。</x:v>
      </x:c>
    </x:row>
    <x:row r="4">
      <x:c r="A4" s="35" t="str">
        <x:v>总收入</x:v>
      </x:c>
      <x:c r="B4" s="35"/>
      <x:c r="C4" s="35"/>
      <x:c r="D4" s="35" t="str">
        <x:v>总支出</x:v>
      </x:c>
      <x:c r="E4" s="35"/>
      <x:c r="F4" s="35"/>
      <x:c r="G4" s="35" t="str">
        <x:v>净利润</x:v>
      </x:c>
      <x:c r="H4" s="35"/>
    </x:row>
    <x:row r="5" ht="28" customHeight="1">
      <x:c r="A5" s="48" t="e">
        <x:f>SUMIFS(明细数据!$H:$H,明细数据!$E:$E,"收入")</x:f>
      </x:c>
      <x:c r="B5" s="48"/>
      <x:c r="C5" s="48"/>
      <x:c r="D5" s="48" t="e">
        <x:f>SUMIFS(明细数据!$H:$H,明细数据!$E:$E,"支出")</x:f>
      </x:c>
      <x:c r="E5" s="48"/>
      <x:c r="F5" s="48"/>
      <x:c r="G5" s="48" t="e">
        <x:f>A5-D5</x:f>
      </x:c>
      <x:c r="H5" s="43"/>
    </x:row>
    <x:row r="7">
      <x:c r="A7" s="35" t="str">
        <x:v>净利率</x:v>
      </x:c>
      <x:c r="B7" s="35"/>
      <x:c r="C7" s="35"/>
      <x:c r="D7" s="35" t="str">
        <x:v>最高收入月份</x:v>
      </x:c>
      <x:c r="E7" s="35"/>
      <x:c r="F7" s="35"/>
      <x:c r="G7" s="35" t="str">
        <x:v>最高支出月份</x:v>
      </x:c>
      <x:c r="H7" s="35"/>
    </x:row>
    <x:row r="8" ht="28" customHeight="1">
      <x:c r="A8" s="50" t="n">
        <x:f>IFERROR(G5/A5,0)</x:f>
        <x:v>0</x:v>
      </x:c>
      <x:c r="B8" s="43"/>
      <x:c r="C8" s="43"/>
      <x:c r="D8" s="43" t="str">
        <x:f>INDEX(A13:A18,MATCH(MAX(B13:B18),B13:B18,0))</x:f>
        <x:v>2026-01</x:v>
      </x:c>
      <x:c r="E8" s="43"/>
      <x:c r="F8" s="43"/>
      <x:c r="G8" s="43" t="str">
        <x:f>INDEX(A13:A18,MATCH(MAX(C13:C18),C13:C18,0))</x:f>
        <x:v>2026-01</x:v>
      </x:c>
      <x:c r="H8" s="43"/>
    </x:row>
    <x:row r="12">
      <x:c r="A12" s="6" t="str">
        <x:v>月份</x:v>
      </x:c>
      <x:c r="B12" s="6" t="str">
        <x:v>收入</x:v>
      </x:c>
      <x:c r="C12" s="6" t="str">
        <x:v>支出</x:v>
      </x:c>
      <x:c r="D12" s="6" t="str">
        <x:v>净利润</x:v>
      </x:c>
      <x:c r="E12" s="6" t="str">
        <x:v>净利率</x:v>
      </x:c>
      <x:c r="F12" s="6" t="str">
        <x:v>收入环比</x:v>
      </x:c>
      <x:c r="G12" s="6" t="str">
        <x:v>支出占收入</x:v>
      </x:c>
    </x:row>
    <x:row r="13">
      <x:c r="A13" t="str">
        <x:v>2026-01</x:v>
      </x:c>
      <x:c r="B13" s="52" t="e">
        <x:f>SUMIFS(明细数据!$H:$H,明细数据!$B:$B,$A13,明细数据!$E:$E,"收入")</x:f>
      </x:c>
      <x:c r="C13" s="52" t="e">
        <x:f>SUMIFS(明细数据!$H:$H,明细数据!$B:$B,$A13,明细数据!$E:$E,"支出")</x:f>
      </x:c>
      <x:c r="D13" s="52" t="e">
        <x:f>B13-C13</x:f>
      </x:c>
      <x:c r="E13" s="54" t="n">
        <x:f>IFERROR(D13/B13,0)</x:f>
        <x:v>0</x:v>
      </x:c>
      <x:c r="F13" s="54" t="n">
        <x:f>0</x:f>
        <x:v>0</x:v>
      </x:c>
      <x:c r="G13" s="54" t="n">
        <x:f>IFERROR(C13/B13,0)</x:f>
        <x:v>0</x:v>
      </x:c>
    </x:row>
    <x:row r="14">
      <x:c r="A14" t="str">
        <x:v>2026-02</x:v>
      </x:c>
      <x:c r="B14" s="52" t="e">
        <x:f>SUMIFS(明细数据!$H:$H,明细数据!$B:$B,$A14,明细数据!$E:$E,"收入")</x:f>
      </x:c>
      <x:c r="C14" s="52" t="e">
        <x:f>SUMIFS(明细数据!$H:$H,明细数据!$B:$B,$A14,明细数据!$E:$E,"支出")</x:f>
      </x:c>
      <x:c r="D14" s="52" t="e">
        <x:f>B14-C14</x:f>
      </x:c>
      <x:c r="E14" s="54" t="n">
        <x:f>IFERROR(D14/B14,0)</x:f>
        <x:v>0</x:v>
      </x:c>
      <x:c r="F14" s="54" t="n">
        <x:f>IFERROR(B14/B13-1,0)</x:f>
        <x:v>0</x:v>
      </x:c>
      <x:c r="G14" s="54" t="n">
        <x:f>IFERROR(C14/B14,0)</x:f>
        <x:v>0</x:v>
      </x:c>
    </x:row>
    <x:row r="15">
      <x:c r="A15" t="str">
        <x:v>2026-03</x:v>
      </x:c>
      <x:c r="B15" s="52" t="e">
        <x:f>SUMIFS(明细数据!$H:$H,明细数据!$B:$B,$A15,明细数据!$E:$E,"收入")</x:f>
      </x:c>
      <x:c r="C15" s="52" t="e">
        <x:f>SUMIFS(明细数据!$H:$H,明细数据!$B:$B,$A15,明细数据!$E:$E,"支出")</x:f>
      </x:c>
      <x:c r="D15" s="52" t="e">
        <x:f>B15-C15</x:f>
      </x:c>
      <x:c r="E15" s="54" t="n">
        <x:f>IFERROR(D15/B15,0)</x:f>
        <x:v>0</x:v>
      </x:c>
      <x:c r="F15" s="54" t="n">
        <x:f>IFERROR(B15/B14-1,0)</x:f>
        <x:v>0</x:v>
      </x:c>
      <x:c r="G15" s="54" t="n">
        <x:f>IFERROR(C15/B15,0)</x:f>
        <x:v>0</x:v>
      </x:c>
    </x:row>
    <x:row r="16">
      <x:c r="A16" t="str">
        <x:v>2026-04</x:v>
      </x:c>
      <x:c r="B16" s="52" t="e">
        <x:f>SUMIFS(明细数据!$H:$H,明细数据!$B:$B,$A16,明细数据!$E:$E,"收入")</x:f>
      </x:c>
      <x:c r="C16" s="52" t="e">
        <x:f>SUMIFS(明细数据!$H:$H,明细数据!$B:$B,$A16,明细数据!$E:$E,"支出")</x:f>
      </x:c>
      <x:c r="D16" s="52" t="e">
        <x:f>B16-C16</x:f>
      </x:c>
      <x:c r="E16" s="54" t="n">
        <x:f>IFERROR(D16/B16,0)</x:f>
        <x:v>0</x:v>
      </x:c>
      <x:c r="F16" s="54" t="n">
        <x:f>IFERROR(B16/B15-1,0)</x:f>
        <x:v>0</x:v>
      </x:c>
      <x:c r="G16" s="54" t="n">
        <x:f>IFERROR(C16/B16,0)</x:f>
        <x:v>0</x:v>
      </x:c>
    </x:row>
    <x:row r="17">
      <x:c r="A17" t="str">
        <x:v>2026-05</x:v>
      </x:c>
      <x:c r="B17" s="52" t="e">
        <x:f>SUMIFS(明细数据!$H:$H,明细数据!$B:$B,$A17,明细数据!$E:$E,"收入")</x:f>
      </x:c>
      <x:c r="C17" s="52" t="e">
        <x:f>SUMIFS(明细数据!$H:$H,明细数据!$B:$B,$A17,明细数据!$E:$E,"支出")</x:f>
      </x:c>
      <x:c r="D17" s="52" t="e">
        <x:f>B17-C17</x:f>
      </x:c>
      <x:c r="E17" s="54" t="n">
        <x:f>IFERROR(D17/B17,0)</x:f>
        <x:v>0</x:v>
      </x:c>
      <x:c r="F17" s="54" t="n">
        <x:f>IFERROR(B17/B16-1,0)</x:f>
        <x:v>0</x:v>
      </x:c>
      <x:c r="G17" s="54" t="n">
        <x:f>IFERROR(C17/B17,0)</x:f>
        <x:v>0</x:v>
      </x:c>
    </x:row>
    <x:row r="18">
      <x:c r="A18" t="str">
        <x:v>2026-06</x:v>
      </x:c>
      <x:c r="B18" s="52" t="e">
        <x:f>SUMIFS(明细数据!$H:$H,明细数据!$B:$B,$A18,明细数据!$E:$E,"收入")</x:f>
      </x:c>
      <x:c r="C18" s="52" t="e">
        <x:f>SUMIFS(明细数据!$H:$H,明细数据!$B:$B,$A18,明细数据!$E:$E,"支出")</x:f>
      </x:c>
      <x:c r="D18" s="52" t="e">
        <x:f>B18-C18</x:f>
      </x:c>
      <x:c r="E18" s="54" t="n">
        <x:f>IFERROR(D18/B18,0)</x:f>
        <x:v>0</x:v>
      </x:c>
      <x:c r="F18" s="54" t="n">
        <x:f>IFERROR(B18/B17-1,0)</x:f>
        <x:v>0</x:v>
      </x:c>
      <x:c r="G18" s="54" t="n">
        <x:f>IFERROR(C18/B18,0)</x:f>
        <x:v>0</x:v>
      </x:c>
    </x:row>
    <x:row r="20">
      <x:c r="A20" s="58" t="str">
        <x:v>合计/均值</x:v>
      </x:c>
      <x:c r="B20" s="62" t="e">
        <x:f>SUM(B13:B18)</x:f>
      </x:c>
      <x:c r="C20" s="62" t="e">
        <x:f>SUM(C13:C18)</x:f>
      </x:c>
      <x:c r="D20" s="62" t="e">
        <x:f>SUM(D13:D18)</x:f>
      </x:c>
      <x:c r="E20" s="64" t="n">
        <x:f>IFERROR(D20/B20,0)</x:f>
        <x:v>0</x:v>
      </x:c>
      <x:c r="F20" s="64" t="n">
        <x:f>AVERAGE(F14:F18)</x:f>
        <x:v>0</x:v>
      </x:c>
      <x:c r="G20" s="64" t="n">
        <x:f>IFERROR(C20/B20,0)</x:f>
        <x:v>0</x:v>
      </x:c>
    </x:row>
  </x:sheetData>
  <x:mergeCells>
    <x:mergeCell ref="A1:J1"/>
    <x:mergeCell ref="A2:J2"/>
    <x:mergeCell ref="A4:B4"/>
    <x:mergeCell ref="D4:E4"/>
    <x:mergeCell ref="G4:H4"/>
    <x:mergeCell ref="A7:B7"/>
    <x:mergeCell ref="D7:E7"/>
    <x:mergeCell ref="G7:H7"/>
    <x:mergeCell ref="A5:B5"/>
    <x:mergeCell ref="D5:E5"/>
    <x:mergeCell ref="G5:H5"/>
    <x:mergeCell ref="A8:B8"/>
    <x:mergeCell ref="D8:E8"/>
    <x:mergeCell ref="G8:H8"/>
  </x:mergeCells>
  <x:conditionalFormatting sqref="D13:D18">
    <x:cfRule type="cellIs" dxfId="2" priority="1" operator="lessThan">
      <x:formula>0</x:formula>
    </x:cfRule>
  </x:conditionalFormatting>
  <x:conditionalFormatting sqref="E13:E18">
    <x:cfRule type="dataBar" priority="2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{32527C5E-A084-EE4A-ABF2-184ED64F476F}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50a64f99c9547cc"/>
  <x:tableParts count="1">
    <x:tablePart xmlns:r="http://schemas.openxmlformats.org/officeDocument/2006/relationships" r:id="R786ffadac27c49c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2527C5E-A084-EE4A-ABF2-184ED64F476F}">
            <x14:dataBar gradient="1">
              <x14:cfvo type="min"/>
              <x14:cfvo type="max"/>
              <x14:fillColor rgb="5B9BD5"/>
            </x14:dataBar>
          </x14:cfRule>
          <xm:sqref>E13:E18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28" customHeight="1">
      <x:c r="A1" s="84" t="str">
        <x:v>分类与部门汇总（示例）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3">
      <x:c r="A3" s="6" t="str">
        <x:v>支出分类</x:v>
      </x:c>
      <x:c r="B3" s="6" t="str">
        <x:v>金额</x:v>
      </x:c>
      <x:c r="C3" s="6" t="str">
        <x:v>占总支出</x:v>
      </x:c>
      <x:c r="E3" s="6" t="str">
        <x:v>收入分类</x:v>
      </x:c>
      <x:c r="F3" s="6" t="str">
        <x:v>金额</x:v>
      </x:c>
      <x:c r="G3" s="6" t="str">
        <x:v>占总收入</x:v>
      </x:c>
    </x:row>
    <x:row r="4">
      <x:c r="A4" t="str">
        <x:v>采购成本</x:v>
      </x:c>
      <x:c r="B4" s="52" t="e">
        <x:f>SUMIFS(明细数据!$H:$H,明细数据!$E:$E,"支出",明细数据!$F:$F,A4)</x:f>
      </x:c>
      <x:c r="C4" s="54" t="n">
        <x:f>IFERROR(B4/SUM($B$4:$B$11),0)</x:f>
        <x:v>0</x:v>
      </x:c>
      <x:c r="E4" t="str">
        <x:v>产品销售</x:v>
      </x:c>
      <x:c r="F4" s="52" t="e">
        <x:f>SUMIFS(明细数据!$H:$H,明细数据!$E:$E,"收入",明细数据!$F:$F,E4)</x:f>
      </x:c>
      <x:c r="G4" s="54" t="n">
        <x:f>IFERROR(F4/SUM($F$4:$F$7),0)</x:f>
        <x:v>0</x:v>
      </x:c>
    </x:row>
    <x:row r="5">
      <x:c r="A5" t="str">
        <x:v>人员工资</x:v>
      </x:c>
      <x:c r="B5" s="52" t="e">
        <x:f>SUMIFS(明细数据!$H:$H,明细数据!$E:$E,"支出",明细数据!$F:$F,A5)</x:f>
      </x:c>
      <x:c r="C5" s="54" t="n">
        <x:f>IFERROR(B5/SUM($B$4:$B$11),0)</x:f>
        <x:v>0</x:v>
      </x:c>
      <x:c r="E5" t="str">
        <x:v>服务收入</x:v>
      </x:c>
      <x:c r="F5" s="52" t="e">
        <x:f>SUMIFS(明细数据!$H:$H,明细数据!$E:$E,"收入",明细数据!$F:$F,E5)</x:f>
      </x:c>
      <x:c r="G5" s="54" t="n">
        <x:f>IFERROR(F5/SUM($F$4:$F$7),0)</x:f>
        <x:v>0</x:v>
      </x:c>
    </x:row>
    <x:row r="6">
      <x:c r="A6" t="str">
        <x:v>房租物业</x:v>
      </x:c>
      <x:c r="B6" s="52" t="e">
        <x:f>SUMIFS(明细数据!$H:$H,明细数据!$E:$E,"支出",明细数据!$F:$F,A6)</x:f>
      </x:c>
      <x:c r="C6" s="54" t="n">
        <x:f>IFERROR(B6/SUM($B$4:$B$11),0)</x:f>
        <x:v>0</x:v>
      </x:c>
      <x:c r="E6" t="str">
        <x:v>会员订阅</x:v>
      </x:c>
      <x:c r="F6" s="52" t="e">
        <x:f>SUMIFS(明细数据!$H:$H,明细数据!$E:$E,"收入",明细数据!$F:$F,E6)</x:f>
      </x:c>
      <x:c r="G6" s="54" t="n">
        <x:f>IFERROR(F6/SUM($F$4:$F$7),0)</x:f>
        <x:v>0</x:v>
      </x:c>
    </x:row>
    <x:row r="7">
      <x:c r="A7" t="str">
        <x:v>市场推广</x:v>
      </x:c>
      <x:c r="B7" s="52" t="e">
        <x:f>SUMIFS(明细数据!$H:$H,明细数据!$E:$E,"支出",明细数据!$F:$F,A7)</x:f>
      </x:c>
      <x:c r="C7" s="54" t="n">
        <x:f>IFERROR(B7/SUM($B$4:$B$11),0)</x:f>
        <x:v>0</x:v>
      </x:c>
      <x:c r="E7" t="str">
        <x:v>其他收入</x:v>
      </x:c>
      <x:c r="F7" s="52" t="e">
        <x:f>SUMIFS(明细数据!$H:$H,明细数据!$E:$E,"收入",明细数据!$F:$F,E7)</x:f>
      </x:c>
      <x:c r="G7" s="54" t="n">
        <x:f>IFERROR(F7/SUM($F$4:$F$7),0)</x:f>
        <x:v>0</x:v>
      </x:c>
    </x:row>
    <x:row r="8">
      <x:c r="A8" t="str">
        <x:v>办公费用</x:v>
      </x:c>
      <x:c r="B8" s="52" t="e">
        <x:f>SUMIFS(明细数据!$H:$H,明细数据!$E:$E,"支出",明细数据!$F:$F,A8)</x:f>
      </x:c>
      <x:c r="C8" s="54" t="n">
        <x:f>IFERROR(B8/SUM($B$4:$B$11),0)</x:f>
        <x:v>0</x:v>
      </x:c>
    </x:row>
    <x:row r="9">
      <x:c r="A9" t="str">
        <x:v>差旅交通</x:v>
      </x:c>
      <x:c r="B9" s="52" t="e">
        <x:f>SUMIFS(明细数据!$H:$H,明细数据!$E:$E,"支出",明细数据!$F:$F,A9)</x:f>
      </x:c>
      <x:c r="C9" s="54" t="n">
        <x:f>IFERROR(B9/SUM($B$4:$B$11),0)</x:f>
        <x:v>0</x:v>
      </x:c>
    </x:row>
    <x:row r="10">
      <x:c r="A10" t="str">
        <x:v>软件订阅</x:v>
      </x:c>
      <x:c r="B10" s="52" t="e">
        <x:f>SUMIFS(明细数据!$H:$H,明细数据!$E:$E,"支出",明细数据!$F:$F,A10)</x:f>
      </x:c>
      <x:c r="C10" s="54" t="n">
        <x:f>IFERROR(B10/SUM($B$4:$B$11),0)</x:f>
        <x:v>0</x:v>
      </x:c>
    </x:row>
    <x:row r="11">
      <x:c r="A11" t="str">
        <x:v>税费</x:v>
      </x:c>
      <x:c r="B11" s="52" t="e">
        <x:f>SUMIFS(明细数据!$H:$H,明细数据!$E:$E,"支出",明细数据!$F:$F,A11)</x:f>
      </x:c>
      <x:c r="C11" s="54" t="n">
        <x:f>IFERROR(B11/SUM($B$4:$B$11),0)</x:f>
        <x:v>0</x:v>
      </x:c>
    </x:row>
    <x:row r="14">
      <x:c r="A14" s="6" t="str">
        <x:v>部门</x:v>
      </x:c>
      <x:c r="B14" s="6" t="str">
        <x:v>收入</x:v>
      </x:c>
      <x:c r="C14" s="6" t="str">
        <x:v>支出</x:v>
      </x:c>
      <x:c r="D14" s="6" t="str">
        <x:v>净额</x:v>
      </x:c>
    </x:row>
    <x:row r="15">
      <x:c r="A15" t="str">
        <x:v>销售部</x:v>
      </x:c>
      <x:c r="B15" s="52" t="e">
        <x:f>SUMIFS(明细数据!$H:$H,明细数据!$C:$C,A15,明细数据!$E:$E,"收入")</x:f>
      </x:c>
      <x:c r="C15" s="52" t="e">
        <x:f>SUMIFS(明细数据!$H:$H,明细数据!$C:$C,A15,明细数据!$E:$E,"支出")</x:f>
      </x:c>
      <x:c r="D15" s="52" t="e">
        <x:f>B15-C15</x:f>
      </x:c>
    </x:row>
    <x:row r="16">
      <x:c r="A16" t="str">
        <x:v>市场部</x:v>
      </x:c>
      <x:c r="B16" s="52" t="e">
        <x:f>SUMIFS(明细数据!$H:$H,明细数据!$C:$C,A16,明细数据!$E:$E,"收入")</x:f>
      </x:c>
      <x:c r="C16" s="52" t="e">
        <x:f>SUMIFS(明细数据!$H:$H,明细数据!$C:$C,A16,明细数据!$E:$E,"支出")</x:f>
      </x:c>
      <x:c r="D16" s="52" t="e">
        <x:f>B16-C16</x:f>
      </x:c>
    </x:row>
    <x:row r="17">
      <x:c r="A17" t="str">
        <x:v>运营部</x:v>
      </x:c>
      <x:c r="B17" s="52" t="e">
        <x:f>SUMIFS(明细数据!$H:$H,明细数据!$C:$C,A17,明细数据!$E:$E,"收入")</x:f>
      </x:c>
      <x:c r="C17" s="52" t="e">
        <x:f>SUMIFS(明细数据!$H:$H,明细数据!$C:$C,A17,明细数据!$E:$E,"支出")</x:f>
      </x:c>
      <x:c r="D17" s="52" t="e">
        <x:f>B17-C17</x:f>
      </x:c>
    </x:row>
    <x:row r="18">
      <x:c r="A18" t="str">
        <x:v>研发部</x:v>
      </x:c>
      <x:c r="B18" s="52" t="e">
        <x:f>SUMIFS(明细数据!$H:$H,明细数据!$C:$C,A18,明细数据!$E:$E,"收入")</x:f>
      </x:c>
      <x:c r="C18" s="52" t="e">
        <x:f>SUMIFS(明细数据!$H:$H,明细数据!$C:$C,A18,明细数据!$E:$E,"支出")</x:f>
      </x:c>
      <x:c r="D18" s="52" t="e">
        <x:f>B18-C18</x:f>
      </x:c>
    </x:row>
    <x:row r="19">
      <x:c r="A19" t="str">
        <x:v>行政部</x:v>
      </x:c>
      <x:c r="B19" s="52" t="e">
        <x:f>SUMIFS(明细数据!$H:$H,明细数据!$C:$C,A19,明细数据!$E:$E,"收入")</x:f>
      </x:c>
      <x:c r="C19" s="52" t="e">
        <x:f>SUMIFS(明细数据!$H:$H,明细数据!$C:$C,A19,明细数据!$E:$E,"支出")</x:f>
      </x:c>
      <x:c r="D19" s="52" t="e">
        <x:f>B19-C19</x:f>
      </x:c>
    </x:row>
    <x:row r="20">
      <x:c r="A20" t="str">
        <x:v>财务部</x:v>
      </x:c>
      <x:c r="B20" s="52" t="e">
        <x:f>SUMIFS(明细数据!$H:$H,明细数据!$C:$C,A20,明细数据!$E:$E,"收入")</x:f>
      </x:c>
      <x:c r="C20" s="52" t="e">
        <x:f>SUMIFS(明细数据!$H:$H,明细数据!$C:$C,A20,明细数据!$E:$E,"支出")</x:f>
      </x:c>
      <x:c r="D20" s="52" t="e">
        <x:f>B20-C20</x:f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dccbcc047c04ebd"/>
  <x:tableParts count="3">
    <x:tablePart xmlns:r="http://schemas.openxmlformats.org/officeDocument/2006/relationships" r:id="R80c7bd3696be4c3d"/>
    <x:tablePart xmlns:r="http://schemas.openxmlformats.org/officeDocument/2006/relationships" r:id="Rc613f95fd6c14f36"/>
    <x:tablePart xmlns:r="http://schemas.openxmlformats.org/officeDocument/2006/relationships" r:id="R6ebf6e2755c043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75" t="str">
        <x:v>类型</x:v>
      </x:c>
      <x:c r="B1" s="75" t="str">
        <x:v>部门</x:v>
      </x:c>
      <x:c r="C1" s="75" t="str">
        <x:v>收入分类</x:v>
      </x:c>
      <x:c r="D1" s="75" t="str">
        <x:v>支出分类</x:v>
      </x:c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A2" t="str">
        <x:v>收入</x:v>
      </x:c>
      <x:c r="B2" t="str">
        <x:v>销售部</x:v>
      </x:c>
      <x:c r="C2" t="str">
        <x:v>产品销售</x:v>
      </x:c>
      <x:c r="D2" t="str">
        <x:v>采购成本</x:v>
      </x:c>
    </x:row>
    <x:row r="3">
      <x:c r="A3" t="str">
        <x:v>支出</x:v>
      </x:c>
      <x:c r="B3" t="str">
        <x:v>市场部</x:v>
      </x:c>
      <x:c r="C3" t="str">
        <x:v>服务收入</x:v>
      </x:c>
      <x:c r="D3" t="str">
        <x:v>人员工资</x:v>
      </x:c>
    </x:row>
    <x:row r="4">
      <x:c r="A4" t="str"/>
      <x:c r="B4" t="str">
        <x:v>运营部</x:v>
      </x:c>
      <x:c r="C4" t="str">
        <x:v>会员订阅</x:v>
      </x:c>
      <x:c r="D4" t="str">
        <x:v>房租物业</x:v>
      </x:c>
    </x:row>
    <x:row r="5">
      <x:c r="A5" t="str"/>
      <x:c r="B5" t="str">
        <x:v>研发部</x:v>
      </x:c>
      <x:c r="C5" t="str">
        <x:v>其他收入</x:v>
      </x:c>
      <x:c r="D5" t="str">
        <x:v>市场推广</x:v>
      </x:c>
    </x:row>
    <x:row r="6">
      <x:c r="A6" t="str"/>
      <x:c r="B6" t="str">
        <x:v>行政部</x:v>
      </x:c>
      <x:c r="C6" t="str"/>
      <x:c r="D6" t="str">
        <x:v>办公费用</x:v>
      </x:c>
    </x:row>
    <x:row r="7">
      <x:c r="A7" t="str"/>
      <x:c r="B7" t="str">
        <x:v>财务部</x:v>
      </x:c>
      <x:c r="C7" t="str"/>
      <x:c r="D7" t="str">
        <x:v>差旅交通</x:v>
      </x:c>
    </x:row>
    <x:row r="8">
      <x:c r="A8" t="str"/>
      <x:c r="B8" t="str"/>
      <x:c r="C8" t="str"/>
      <x:c r="D8" t="str">
        <x:v>软件订阅</x:v>
      </x:c>
    </x:row>
    <x:row r="9">
      <x:c r="A9" t="str"/>
      <x:c r="B9" t="str"/>
      <x:c r="C9" t="str"/>
      <x:c r="D9" t="str">
        <x:v>税费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28" customHeight="1">
      <x:c r="A1" s="84" t="str">
        <x:v>使用说明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2">
      <x:c r="A2" s="71" t="str">
        <x:v>1. 在“明细数据”表中新增或替换交易记录；字段包括日期、月份、部门、项目/客户、类型、分类、账户、金额、备注。</x:v>
      </x:c>
    </x:row>
    <x:row r="3">
      <x:c r="A3" s="71" t="str">
        <x:v>2. “财务汇总”中的总收入、总支出、净利润、净利率、月度趋势均使用 SUMIFS/IFERROR 等公式自动汇总。</x:v>
      </x:c>
    </x:row>
    <x:row r="4">
      <x:c r="A4" s="71" t="str">
        <x:v>3. “分类汇总”按收入分类、支出分类、部门分别汇总，便于快速看出成本结构和部门贡献。</x:v>
      </x:c>
    </x:row>
    <x:row r="5">
      <x:c r="A5" s="71" t="str">
        <x:v>4. 示例数据为虚构数据，仅用于演示模板结构，不构成任何财务建议或真实业绩。</x:v>
      </x:c>
    </x:row>
    <x:row r="6">
      <x:c r="A6" s="71" t="str">
        <x:v>5. 替换数据时，请保持“类型”为“收入”或“支出”，并使用下拉选项中的分类，以确保汇总公式准确。</x:v>
      </x:c>
    </x:row>
  </x:sheetData>
  <x:pageMargins left="0.7" right="0.7" top="0.75" bottom="0.75" header="0.3" footer="0.3"/>
</x:worksheet>
</file>